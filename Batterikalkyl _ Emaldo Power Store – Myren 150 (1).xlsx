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s | Myren 150" sheetId="1" r:id="rId5"/>
  </sheets>
  <definedNames/>
  <calcPr/>
</workbook>
</file>

<file path=xl/sharedStrings.xml><?xml version="1.0" encoding="utf-8"?>
<sst xmlns="http://schemas.openxmlformats.org/spreadsheetml/2006/main" count="195" uniqueCount="107">
  <si>
    <t xml:space="preserve">BATTERIKALKYL - Mats </t>
  </si>
  <si>
    <t>1. BATTERISPECIFIKATIONER</t>
  </si>
  <si>
    <t>Batteristorlek (kWh)</t>
  </si>
  <si>
    <t>kWh</t>
  </si>
  <si>
    <t>Maxeffekt urladdning (kW)</t>
  </si>
  <si>
    <t>kW</t>
  </si>
  <si>
    <t>Maxeffekt laddning (kW)</t>
  </si>
  <si>
    <t>Laddningseffektivitet (%)</t>
  </si>
  <si>
    <t>%</t>
  </si>
  <si>
    <t>Urladdningseffektivitet (%)</t>
  </si>
  <si>
    <t>Garanterad livslängd (år)</t>
  </si>
  <si>
    <t>år</t>
  </si>
  <si>
    <t>Garanterade cykler</t>
  </si>
  <si>
    <t>cykler</t>
  </si>
  <si>
    <t>Degradering per år (%)</t>
  </si>
  <si>
    <t>2. ARTIKLAR</t>
  </si>
  <si>
    <t>Totalkostnad (inkl. installation, moms)</t>
  </si>
  <si>
    <t>Artikelnamn</t>
  </si>
  <si>
    <t>Pris</t>
  </si>
  <si>
    <t>Avdrag för Grön Teknik</t>
  </si>
  <si>
    <t>Artikel 1</t>
  </si>
  <si>
    <t>5,12 kWh – batteriskåp &amp; växelriktare</t>
  </si>
  <si>
    <t>Momssats (%)</t>
  </si>
  <si>
    <t>Artikel 2</t>
  </si>
  <si>
    <t xml:space="preserve">10,24 kWh | 5.12 kWh – tilläggsmodul </t>
  </si>
  <si>
    <t>Fastighetsägare</t>
  </si>
  <si>
    <t>Artikel 3</t>
  </si>
  <si>
    <t xml:space="preserve">15,36 kWh | 5.12 kWh – tilläggsmodul </t>
  </si>
  <si>
    <t>Kostnad efter Avdrag för Grön Teknik</t>
  </si>
  <si>
    <t>Kostnad utan moms (företagskund)</t>
  </si>
  <si>
    <t>3. ELFÖRBRUKNING &amp; PRISER</t>
  </si>
  <si>
    <t>3.1 Förbrukningsfördelning – genom hela året  (kWh)</t>
  </si>
  <si>
    <t>Årlig elförbrukning</t>
  </si>
  <si>
    <t>Januari</t>
  </si>
  <si>
    <t>Februari</t>
  </si>
  <si>
    <t>Mars</t>
  </si>
  <si>
    <t>April</t>
  </si>
  <si>
    <t>Maj</t>
  </si>
  <si>
    <t>Juni</t>
  </si>
  <si>
    <t>Juli</t>
  </si>
  <si>
    <t>Augusti</t>
  </si>
  <si>
    <t>September</t>
  </si>
  <si>
    <t>Oktober</t>
  </si>
  <si>
    <t>November</t>
  </si>
  <si>
    <t>December</t>
  </si>
  <si>
    <t>Andel förbrukning dagtid (%)</t>
  </si>
  <si>
    <t>Köpt</t>
  </si>
  <si>
    <t>Såld</t>
  </si>
  <si>
    <t>Andel förbrukning nattetid (%)</t>
  </si>
  <si>
    <t>Spotpris dagtid (snitt)</t>
  </si>
  <si>
    <t>SEK/kWh</t>
  </si>
  <si>
    <t>Spotpris nattetid (snitt)</t>
  </si>
  <si>
    <t>Summa köpt el  (kWh)</t>
  </si>
  <si>
    <t>Summa såld el  (kWh)</t>
  </si>
  <si>
    <t>Nätavgift + elskatt (fast)</t>
  </si>
  <si>
    <t>4. BATTERIANVÄNDNING</t>
  </si>
  <si>
    <t>Cykler per dag</t>
  </si>
  <si>
    <t>Dagar per år med användning</t>
  </si>
  <si>
    <t>dagar</t>
  </si>
  <si>
    <t>3.2 Effektavgifter</t>
  </si>
  <si>
    <t>Genomsnittlig urladdning per cykel (%)</t>
  </si>
  <si>
    <t>Nätägare</t>
  </si>
  <si>
    <t>Vattenfall Eldistribution AB</t>
  </si>
  <si>
    <t>Nuvarande effektavgift (kr/kW)</t>
  </si>
  <si>
    <t>"Förutspådd" effektavgift (±25%) (kr/kW)</t>
  </si>
  <si>
    <t>I kalkylen utgår vi från Ellevios effektavgift</t>
  </si>
  <si>
    <t>Effektiv kapacitet per cykel (kWh)</t>
  </si>
  <si>
    <t xml:space="preserve">Snittliga effekttoppar – just nu </t>
  </si>
  <si>
    <t>Snittliga effekttoppar – med batteri</t>
  </si>
  <si>
    <t>Energi från batteri per år (kWh)</t>
  </si>
  <si>
    <t>Q1</t>
  </si>
  <si>
    <t>Q2</t>
  </si>
  <si>
    <t>Q3</t>
  </si>
  <si>
    <t>Q4</t>
  </si>
  <si>
    <t>Effekttopp 1 (kW)</t>
  </si>
  <si>
    <t>5. ÅRLIG BESPARING / AVKASTNING</t>
  </si>
  <si>
    <t>Effekttopp 2 (kW)</t>
  </si>
  <si>
    <t>Pris utan batteri (dag)</t>
  </si>
  <si>
    <t>Effekttopp 3 (kW)</t>
  </si>
  <si>
    <t>Pris med batteri (natt + laddning)</t>
  </si>
  <si>
    <t>Besparing per kWh</t>
  </si>
  <si>
    <t>Snitt (kW)</t>
  </si>
  <si>
    <t>Taxa per kW</t>
  </si>
  <si>
    <t>Avkastning |  Spotprisoptimering</t>
  </si>
  <si>
    <t>SEK</t>
  </si>
  <si>
    <t>Besparing | Effektavgifter</t>
  </si>
  <si>
    <t>Kostnad per kvartal</t>
  </si>
  <si>
    <t xml:space="preserve">Avkastning |  Stödtjänster | Garantiersättning första 3 åren </t>
  </si>
  <si>
    <t>Avkastning |  Stödtjänster | Garantiersättning efter garanti</t>
  </si>
  <si>
    <r>
      <rPr>
        <rFont val="Arial"/>
        <color theme="1"/>
      </rPr>
      <t xml:space="preserve"> ⬅️ Notera: Jag har räknat konservativt med stödtjänstersättningen </t>
    </r>
    <r>
      <rPr>
        <rFont val="Arial"/>
        <b/>
        <color theme="1"/>
      </rPr>
      <t>efter</t>
    </r>
    <r>
      <rPr>
        <rFont val="Arial"/>
        <color theme="1"/>
      </rPr>
      <t xml:space="preserve"> garantiersättningens period</t>
    </r>
  </si>
  <si>
    <t>Summa kostnad</t>
  </si>
  <si>
    <t>Besparing med batteri</t>
  </si>
  <si>
    <t>6. AVKASTNING &amp; PAYBACK</t>
  </si>
  <si>
    <t>Delbetalning</t>
  </si>
  <si>
    <t>Scenario</t>
  </si>
  <si>
    <t>Payback tid (år)</t>
  </si>
  <si>
    <t>ROI 10 år (%)</t>
  </si>
  <si>
    <t>Årlig avkastning (%)</t>
  </si>
  <si>
    <t>Period för delbetalning</t>
  </si>
  <si>
    <t>månader</t>
  </si>
  <si>
    <t>Privatkund med Avdrag för Grön Teknik</t>
  </si>
  <si>
    <t>Uppläggningsavgift</t>
  </si>
  <si>
    <t>Avgift per månad</t>
  </si>
  <si>
    <t>Total kostnad | 36 mån</t>
  </si>
  <si>
    <r>
      <rPr>
        <rFont val="Arial"/>
        <color theme="1"/>
      </rPr>
      <t>Total '</t>
    </r>
    <r>
      <rPr>
        <rFont val="Arial"/>
        <i/>
        <color theme="1"/>
      </rPr>
      <t>ränta'</t>
    </r>
    <r>
      <rPr>
        <rFont val="Arial"/>
        <color theme="1"/>
      </rPr>
      <t xml:space="preserve"> per år</t>
    </r>
  </si>
  <si>
    <t>Totalkostnad</t>
  </si>
  <si>
    <t>Månatlig kostnad</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</si>
</sst>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0[$ kr]"/>
    <numFmt numFmtId="165" formatCode="#,##0[$ kr]"/>
    <numFmt numFmtId="166" formatCode="#,##0.0[$ kr]"/>
    <numFmt numFmtId="167" formatCode="0.0"/>
  </numFmts>
  <fonts count="15">
    <font>
      <sz val="10.0"/>
      <color rgb="FF000000"/>
      <name val="Arial"/>
      <scheme val="minor"/>
    </font>
    <font>
      <b/>
      <sz val="16.0"/>
      <color theme="1"/>
      <name val="Arial"/>
      <scheme val="minor"/>
    </font>
    <font>
      <b/>
      <sz val="12.0"/>
      <color rgb="FFFFFFFF"/>
      <name val="Arial"/>
      <scheme val="minor"/>
    </font>
    <font/>
    <font>
      <color theme="1"/>
      <name val="Arial"/>
      <scheme val="minor"/>
    </font>
    <font>
      <sz val="11.0"/>
      <color theme="1"/>
      <name val="Calibri"/>
    </font>
    <font>
      <b/>
      <color theme="1"/>
      <name val="Arial"/>
      <scheme val="minor"/>
    </font>
    <font>
      <b/>
      <sz val="11.0"/>
      <color theme="1"/>
      <name val="Calibri"/>
    </font>
    <font>
      <strike/>
      <color theme="1"/>
      <name val="Arial"/>
      <scheme val="minor"/>
    </font>
    <font>
      <strike/>
      <sz val="11.0"/>
      <color theme="1"/>
      <name val="Calibri"/>
    </font>
    <font>
      <b/>
      <color rgb="FFFFFFFF"/>
      <name val="Arial"/>
      <scheme val="minor"/>
    </font>
    <font>
      <b/>
      <sz val="11.0"/>
      <color theme="1"/>
      <name val="Arial"/>
      <scheme val="minor"/>
    </font>
    <font>
      <sz val="8.0"/>
      <color theme="1"/>
      <name val="Arial"/>
      <scheme val="minor"/>
    </font>
    <font>
      <b/>
      <sz val="11.0"/>
      <color rgb="FFFFFFFF"/>
      <name val="Arial"/>
      <scheme val="minor"/>
    </font>
    <font>
      <sz val="11.0"/>
      <color rgb="FFFFFFFF"/>
      <name val="Arial"/>
      <scheme val="minor"/>
    </font>
  </fonts>
  <fills count="11">
    <fill>
      <patternFill patternType="none"/>
    </fill>
    <fill>
      <patternFill patternType="lightGray"/>
    </fill>
    <fill>
      <patternFill patternType="solid">
        <fgColor rgb="FFC9DAF8"/>
        <bgColor rgb="FFC9DAF8"/>
      </patternFill>
    </fill>
    <fill>
      <patternFill patternType="solid">
        <fgColor rgb="FF366092"/>
        <bgColor rgb="FF366092"/>
      </patternFill>
    </fill>
    <fill>
      <patternFill patternType="solid">
        <fgColor rgb="FFFFF2CC"/>
        <bgColor rgb="FFFFF2CC"/>
      </patternFill>
    </fill>
    <fill>
      <patternFill patternType="solid">
        <fgColor rgb="FFE7E6E6"/>
        <bgColor rgb="FFE7E6E6"/>
      </patternFill>
    </fill>
    <fill>
      <patternFill patternType="solid">
        <fgColor rgb="FFEFEFEF"/>
        <bgColor rgb="FFEFEFEF"/>
      </patternFill>
    </fill>
    <fill>
      <patternFill patternType="solid">
        <fgColor rgb="FFF3F3F3"/>
        <bgColor rgb="FFF3F3F3"/>
      </patternFill>
    </fill>
    <fill>
      <patternFill patternType="solid">
        <fgColor rgb="FFC6E0B4"/>
        <bgColor rgb="FFC6E0B4"/>
      </patternFill>
    </fill>
    <fill>
      <patternFill patternType="solid">
        <fgColor rgb="FF93C47D"/>
        <bgColor rgb="FF93C47D"/>
      </patternFill>
    </fill>
    <fill>
      <patternFill patternType="solid">
        <fgColor rgb="FFB6D7A8"/>
        <bgColor rgb="FFB6D7A8"/>
      </patternFill>
    </fill>
  </fills>
  <borders count="14">
    <border/>
    <border>
      <left/>
      <top/>
      <bottom/>
    </border>
    <border>
      <top/>
      <bottom/>
    </border>
    <border>
      <right/>
      <top/>
      <bottom/>
    </border>
    <border>
      <left/>
      <right/>
      <top/>
      <bottom/>
    </border>
    <border>
      <left/>
      <top/>
    </border>
    <border>
      <top/>
    </border>
    <border>
      <right/>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3" fontId="2" numFmtId="0" xfId="0" applyAlignment="1" applyBorder="1" applyFill="1" applyFont="1">
      <alignment horizontal="center"/>
    </xf>
    <xf borderId="2" fillId="0" fontId="3" numFmtId="0" xfId="0" applyBorder="1" applyFont="1"/>
    <xf borderId="3" fillId="0" fontId="3" numFmtId="0" xfId="0" applyBorder="1" applyFont="1"/>
    <xf borderId="0" fillId="0" fontId="4" numFmtId="0" xfId="0" applyFont="1"/>
    <xf borderId="4" fillId="4" fontId="5" numFmtId="0" xfId="0" applyAlignment="1" applyBorder="1" applyFill="1" applyFont="1">
      <alignment readingOrder="0"/>
    </xf>
    <xf borderId="4" fillId="4" fontId="5" numFmtId="0" xfId="0" applyBorder="1" applyFont="1"/>
    <xf borderId="0" fillId="0" fontId="4" numFmtId="0" xfId="0" applyAlignment="1" applyFont="1">
      <alignment readingOrder="0"/>
    </xf>
    <xf borderId="1" fillId="3" fontId="2" numFmtId="0" xfId="0" applyAlignment="1" applyBorder="1" applyFont="1">
      <alignment horizontal="center" readingOrder="0"/>
    </xf>
    <xf borderId="4" fillId="4" fontId="5" numFmtId="164" xfId="0" applyAlignment="1" applyBorder="1" applyFont="1" applyNumberFormat="1">
      <alignment readingOrder="0"/>
    </xf>
    <xf borderId="0" fillId="0" fontId="4" numFmtId="165" xfId="0" applyAlignment="1" applyFont="1" applyNumberFormat="1">
      <alignment horizontal="center" readingOrder="0"/>
    </xf>
    <xf borderId="0" fillId="0" fontId="6" numFmtId="0" xfId="0" applyAlignment="1" applyFont="1">
      <alignment readingOrder="0"/>
    </xf>
    <xf borderId="0" fillId="0" fontId="4" numFmtId="164" xfId="0" applyAlignment="1" applyFont="1" applyNumberFormat="1">
      <alignment readingOrder="0"/>
    </xf>
    <xf borderId="4" fillId="4" fontId="5" numFmtId="9" xfId="0" applyAlignment="1" applyBorder="1" applyFont="1" applyNumberFormat="1">
      <alignment readingOrder="0"/>
    </xf>
    <xf borderId="4" fillId="5" fontId="7" numFmtId="165" xfId="0" applyAlignment="1" applyBorder="1" applyFill="1" applyFont="1" applyNumberFormat="1">
      <alignment readingOrder="0"/>
    </xf>
    <xf borderId="0" fillId="0" fontId="6" numFmtId="0" xfId="0" applyFont="1"/>
    <xf borderId="0" fillId="0" fontId="8" numFmtId="0" xfId="0" applyFont="1"/>
    <xf borderId="4" fillId="5" fontId="9" numFmtId="166" xfId="0" applyBorder="1" applyFont="1" applyNumberFormat="1"/>
    <xf borderId="5" fillId="3" fontId="2" numFmtId="0" xfId="0" applyAlignment="1" applyBorder="1" applyFont="1">
      <alignment horizontal="left" readingOrder="0"/>
    </xf>
    <xf borderId="6" fillId="0" fontId="3" numFmtId="0" xfId="0" applyBorder="1" applyFont="1"/>
    <xf borderId="7" fillId="0" fontId="3" numFmtId="0" xfId="0" applyBorder="1" applyFont="1"/>
    <xf borderId="4" fillId="4" fontId="5" numFmtId="3" xfId="0" applyAlignment="1" applyBorder="1" applyFont="1" applyNumberFormat="1">
      <alignment readingOrder="0"/>
    </xf>
    <xf borderId="8" fillId="0" fontId="4" numFmtId="0" xfId="0" applyAlignment="1" applyBorder="1" applyFont="1">
      <alignment horizontal="center" readingOrder="0"/>
    </xf>
    <xf borderId="9" fillId="0" fontId="3" numFmtId="0" xfId="0" applyBorder="1" applyFont="1"/>
    <xf borderId="10" fillId="0" fontId="4" numFmtId="0" xfId="0" applyAlignment="1" applyBorder="1" applyFont="1">
      <alignment horizontal="center" readingOrder="0"/>
    </xf>
    <xf borderId="11" fillId="0" fontId="4" numFmtId="0" xfId="0" applyAlignment="1" applyBorder="1" applyFont="1">
      <alignment horizontal="center" readingOrder="0"/>
    </xf>
    <xf borderId="12" fillId="0" fontId="4" numFmtId="0" xfId="0" applyAlignment="1" applyBorder="1" applyFont="1">
      <alignment horizontal="center" readingOrder="0"/>
    </xf>
    <xf borderId="13" fillId="0" fontId="4" numFmtId="0" xfId="0" applyAlignment="1" applyBorder="1" applyFont="1">
      <alignment horizontal="center" readingOrder="0"/>
    </xf>
    <xf borderId="0" fillId="3" fontId="10" numFmtId="0" xfId="0" applyAlignment="1" applyFont="1">
      <alignment horizontal="center" readingOrder="0" vertical="center"/>
    </xf>
    <xf borderId="0" fillId="6" fontId="4" numFmtId="0" xfId="0" applyAlignment="1" applyFill="1" applyFont="1">
      <alignment horizontal="center"/>
    </xf>
    <xf borderId="0" fillId="3" fontId="2" numFmtId="0" xfId="0" applyAlignment="1" applyFont="1">
      <alignment horizontal="left" readingOrder="0" vertical="center"/>
    </xf>
    <xf borderId="0" fillId="0" fontId="11" numFmtId="0" xfId="0" applyAlignment="1" applyFont="1">
      <alignment horizontal="center" readingOrder="0" vertical="center"/>
    </xf>
    <xf borderId="0" fillId="0" fontId="4" numFmtId="0" xfId="0" applyAlignment="1" applyFont="1">
      <alignment horizontal="center" readingOrder="0"/>
    </xf>
    <xf borderId="0" fillId="0" fontId="12" numFmtId="0" xfId="0" applyAlignment="1" applyFont="1">
      <alignment horizontal="center" readingOrder="0" vertical="center"/>
    </xf>
    <xf borderId="0" fillId="0" fontId="4" numFmtId="166" xfId="0" applyAlignment="1" applyFont="1" applyNumberFormat="1">
      <alignment readingOrder="0"/>
    </xf>
    <xf borderId="0" fillId="0" fontId="12" numFmtId="0" xfId="0" applyAlignment="1" applyFont="1">
      <alignment readingOrder="0" vertical="center"/>
    </xf>
    <xf borderId="4" fillId="5" fontId="5" numFmtId="2" xfId="0" applyBorder="1" applyFont="1" applyNumberFormat="1"/>
    <xf borderId="0" fillId="3" fontId="13" numFmtId="0" xfId="0" applyAlignment="1" applyFont="1">
      <alignment horizontal="center" readingOrder="0" vertical="center"/>
    </xf>
    <xf borderId="4" fillId="5" fontId="5" numFmtId="0" xfId="0" applyBorder="1" applyFont="1"/>
    <xf borderId="0" fillId="7" fontId="4" numFmtId="0" xfId="0" applyAlignment="1" applyFill="1" applyFont="1">
      <alignment horizontal="center" readingOrder="0"/>
    </xf>
    <xf borderId="8" fillId="0" fontId="4" numFmtId="0" xfId="0" applyAlignment="1" applyBorder="1" applyFont="1">
      <alignment readingOrder="0"/>
    </xf>
    <xf borderId="9" fillId="0" fontId="4" numFmtId="167" xfId="0" applyAlignment="1" applyBorder="1" applyFont="1" applyNumberFormat="1">
      <alignment horizontal="center" readingOrder="0"/>
    </xf>
    <xf borderId="10" fillId="0" fontId="4" numFmtId="0" xfId="0" applyAlignment="1" applyBorder="1" applyFont="1">
      <alignment readingOrder="0"/>
    </xf>
    <xf borderId="11" fillId="0" fontId="4" numFmtId="167" xfId="0" applyAlignment="1" applyBorder="1" applyFont="1" applyNumberFormat="1">
      <alignment horizontal="center" readingOrder="0"/>
    </xf>
    <xf borderId="4" fillId="5" fontId="5" numFmtId="0" xfId="0" applyAlignment="1" applyBorder="1" applyFont="1">
      <alignment readingOrder="0"/>
    </xf>
    <xf borderId="11" fillId="0" fontId="4" numFmtId="167" xfId="0" applyAlignment="1" applyBorder="1" applyFont="1" applyNumberFormat="1">
      <alignment horizontal="center"/>
    </xf>
    <xf borderId="0" fillId="0" fontId="4" numFmtId="164" xfId="0" applyFont="1" applyNumberFormat="1"/>
    <xf borderId="11" fillId="0" fontId="4" numFmtId="165" xfId="0" applyAlignment="1" applyBorder="1" applyFont="1" applyNumberFormat="1">
      <alignment readingOrder="0"/>
    </xf>
    <xf borderId="4" fillId="8" fontId="10" numFmtId="167" xfId="0" applyAlignment="1" applyBorder="1" applyFill="1" applyFont="1" applyNumberFormat="1">
      <alignment vertical="center"/>
    </xf>
    <xf borderId="10" fillId="0" fontId="4" numFmtId="0" xfId="0" applyBorder="1" applyFont="1"/>
    <xf borderId="11" fillId="0" fontId="4" numFmtId="0" xfId="0" applyBorder="1" applyFont="1"/>
    <xf borderId="0" fillId="8" fontId="10" numFmtId="167" xfId="0" applyAlignment="1" applyFont="1" applyNumberFormat="1">
      <alignment vertical="center"/>
    </xf>
    <xf borderId="10" fillId="0" fontId="4" numFmtId="0" xfId="0" applyAlignment="1" applyBorder="1" applyFont="1">
      <alignment horizontal="center" readingOrder="0" vertical="center"/>
    </xf>
    <xf borderId="11" fillId="0" fontId="3" numFmtId="0" xfId="0" applyBorder="1" applyFont="1"/>
    <xf borderId="0" fillId="0" fontId="4" numFmtId="0" xfId="0" applyAlignment="1" applyFont="1">
      <alignment horizontal="left" readingOrder="0" shrinkToFit="0" wrapText="1"/>
    </xf>
    <xf borderId="12" fillId="0" fontId="4" numFmtId="165" xfId="0" applyAlignment="1" applyBorder="1" applyFont="1" applyNumberFormat="1">
      <alignment horizontal="center"/>
    </xf>
    <xf borderId="13" fillId="0" fontId="3" numFmtId="0" xfId="0" applyBorder="1" applyFont="1"/>
    <xf borderId="0" fillId="8" fontId="10" numFmtId="0" xfId="0" applyAlignment="1" applyFont="1">
      <alignment vertical="center"/>
    </xf>
    <xf borderId="0" fillId="0" fontId="4" numFmtId="0" xfId="0" applyAlignment="1" applyFont="1">
      <alignment horizontal="left" readingOrder="0"/>
    </xf>
    <xf borderId="0" fillId="0" fontId="6" numFmtId="0" xfId="0" applyAlignment="1" applyFont="1">
      <alignment horizontal="center" readingOrder="0"/>
    </xf>
    <xf borderId="0" fillId="0" fontId="6" numFmtId="165" xfId="0" applyAlignment="1" applyFont="1" applyNumberFormat="1">
      <alignment horizontal="center"/>
    </xf>
    <xf borderId="0" fillId="9" fontId="14" numFmtId="0" xfId="0" applyAlignment="1" applyFill="1" applyFont="1">
      <alignment horizontal="center" readingOrder="0"/>
    </xf>
    <xf borderId="0" fillId="9" fontId="14" numFmtId="165" xfId="0" applyAlignment="1" applyFont="1" applyNumberFormat="1">
      <alignment horizontal="center"/>
    </xf>
    <xf borderId="0" fillId="0" fontId="10" numFmtId="0" xfId="0" applyAlignment="1" applyFont="1">
      <alignment horizontal="center" readingOrder="0" vertical="center"/>
    </xf>
    <xf borderId="4" fillId="5" fontId="6" numFmtId="0" xfId="0" applyBorder="1" applyFont="1"/>
    <xf borderId="0" fillId="0" fontId="7" numFmtId="167" xfId="0" applyFont="1" applyNumberFormat="1"/>
    <xf borderId="0" fillId="0" fontId="4" numFmtId="165" xfId="0" applyAlignment="1" applyFont="1" applyNumberFormat="1">
      <alignment readingOrder="0"/>
    </xf>
    <xf borderId="0" fillId="0" fontId="9" numFmtId="167" xfId="0" applyFont="1" applyNumberFormat="1"/>
    <xf borderId="0" fillId="0" fontId="4" numFmtId="165" xfId="0" applyFont="1" applyNumberFormat="1"/>
    <xf borderId="0" fillId="0" fontId="4" numFmtId="10" xfId="0" applyFont="1" applyNumberFormat="1"/>
    <xf borderId="0" fillId="10" fontId="13" numFmtId="0" xfId="0" applyAlignment="1" applyFill="1" applyFont="1">
      <alignment horizontal="center" readingOrder="0" vertical="center"/>
    </xf>
    <xf borderId="0" fillId="10" fontId="13" numFmtId="165" xfId="0" applyAlignment="1" applyFont="1" applyNumberForma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44.63"/>
    <col customWidth="1" min="2" max="2" width="15.75"/>
    <col customWidth="1" min="3" max="3" width="12.75"/>
    <col customWidth="1" min="4" max="4" width="18.5"/>
    <col customWidth="1" min="5" max="5" width="29.88"/>
    <col customWidth="1" min="6" max="6" width="16.38"/>
    <col customWidth="1" min="7" max="7" width="9.63"/>
    <col customWidth="1" min="8" max="8" width="18.13"/>
    <col customWidth="1" min="9" max="9" width="7.63"/>
    <col customWidth="1" min="10" max="10" width="14.0"/>
    <col customWidth="1" min="11" max="11" width="7.63"/>
    <col customWidth="1" min="12" max="12" width="14.38"/>
    <col customWidth="1" min="13" max="13" width="7.63"/>
    <col customWidth="1" min="14" max="14" width="13.88"/>
    <col customWidth="1" min="15" max="15" width="9.75"/>
    <col customWidth="1" min="16" max="17" width="14.38"/>
    <col customWidth="1" min="18" max="18" width="9.0"/>
    <col customWidth="1" min="19" max="19" width="14.5"/>
    <col customWidth="1" min="20" max="20" width="10.38"/>
    <col customWidth="1" min="21" max="21" width="15.0"/>
    <col customWidth="1" min="22" max="22" width="10.38"/>
    <col customWidth="1" min="23" max="23" width="14.25"/>
    <col customWidth="1" min="24" max="24" width="10.38"/>
    <col customWidth="1" min="25" max="25" width="14.5"/>
    <col customWidth="1" min="26" max="32" width="10.38"/>
    <col customWidth="1" min="33" max="35" width="7.63"/>
    <col customWidth="1" min="36" max="36" width="9.38"/>
    <col customWidth="1" min="37" max="40" width="7.63"/>
    <col customWidth="1" min="41" max="41" width="8.88"/>
    <col customWidth="1" min="42" max="48" width="7.63"/>
  </cols>
  <sheetData>
    <row r="1" ht="33.0" customHeight="1">
      <c r="A1" s="1" t="s">
        <v>0</v>
      </c>
    </row>
    <row r="3">
      <c r="A3" s="2" t="s">
        <v>1</v>
      </c>
      <c r="B3" s="3"/>
      <c r="C3" s="3"/>
      <c r="D3" s="3"/>
      <c r="E3" s="3"/>
      <c r="F3" s="4"/>
    </row>
    <row r="4">
      <c r="A4" s="5" t="s">
        <v>2</v>
      </c>
      <c r="B4" s="6">
        <v>15.36</v>
      </c>
      <c r="C4" s="5" t="s">
        <v>3</v>
      </c>
    </row>
    <row r="5">
      <c r="A5" s="5" t="s">
        <v>4</v>
      </c>
      <c r="B5" s="6">
        <v>10.24</v>
      </c>
      <c r="C5" s="5" t="s">
        <v>5</v>
      </c>
    </row>
    <row r="6">
      <c r="A6" s="5" t="s">
        <v>6</v>
      </c>
      <c r="B6" s="6">
        <v>10.24</v>
      </c>
      <c r="C6" s="5" t="s">
        <v>5</v>
      </c>
    </row>
    <row r="7">
      <c r="A7" s="5" t="s">
        <v>7</v>
      </c>
      <c r="B7" s="7">
        <v>95.0</v>
      </c>
      <c r="C7" s="5" t="s">
        <v>8</v>
      </c>
    </row>
    <row r="8">
      <c r="A8" s="5" t="s">
        <v>9</v>
      </c>
      <c r="B8" s="6">
        <v>97.0</v>
      </c>
      <c r="C8" s="5" t="s">
        <v>8</v>
      </c>
    </row>
    <row r="9">
      <c r="A9" s="5" t="s">
        <v>10</v>
      </c>
      <c r="B9" s="7">
        <v>10.0</v>
      </c>
      <c r="C9" s="5" t="s">
        <v>11</v>
      </c>
    </row>
    <row r="10">
      <c r="A10" s="8" t="s">
        <v>12</v>
      </c>
      <c r="B10" s="7">
        <v>6000.0</v>
      </c>
      <c r="C10" s="5" t="s">
        <v>13</v>
      </c>
    </row>
    <row r="11">
      <c r="A11" s="5" t="s">
        <v>14</v>
      </c>
      <c r="B11" s="7">
        <v>2.0</v>
      </c>
      <c r="C11" s="5" t="s">
        <v>8</v>
      </c>
    </row>
    <row r="13">
      <c r="A13" s="9" t="s">
        <v>15</v>
      </c>
      <c r="B13" s="3"/>
      <c r="C13" s="3"/>
      <c r="D13" s="3"/>
      <c r="E13" s="3"/>
      <c r="F13" s="4"/>
    </row>
    <row r="14">
      <c r="A14" s="5" t="s">
        <v>16</v>
      </c>
      <c r="B14" s="10">
        <f>F15+F17+F16</f>
        <v>149850</v>
      </c>
      <c r="E14" s="8" t="s">
        <v>17</v>
      </c>
      <c r="F14" s="8" t="s">
        <v>18</v>
      </c>
      <c r="AG14" s="11"/>
      <c r="AH14" s="11"/>
      <c r="AI14" s="11"/>
    </row>
    <row r="15">
      <c r="A15" s="8" t="s">
        <v>19</v>
      </c>
      <c r="B15" s="6">
        <v>48.5</v>
      </c>
      <c r="C15" s="5" t="s">
        <v>8</v>
      </c>
      <c r="D15" s="12" t="s">
        <v>20</v>
      </c>
      <c r="E15" s="8" t="s">
        <v>21</v>
      </c>
      <c r="F15" s="13">
        <f>80120*(1+B16)</f>
        <v>100150</v>
      </c>
    </row>
    <row r="16">
      <c r="A16" s="5" t="s">
        <v>22</v>
      </c>
      <c r="B16" s="14">
        <v>0.25</v>
      </c>
      <c r="D16" s="12" t="s">
        <v>23</v>
      </c>
      <c r="E16" s="8" t="s">
        <v>24</v>
      </c>
      <c r="F16" s="13">
        <f>19880*(1+B16)</f>
        <v>24850</v>
      </c>
    </row>
    <row r="17">
      <c r="A17" s="8" t="s">
        <v>25</v>
      </c>
      <c r="B17" s="6">
        <v>2.0</v>
      </c>
      <c r="D17" s="12" t="s">
        <v>26</v>
      </c>
      <c r="E17" s="8" t="s">
        <v>27</v>
      </c>
      <c r="F17" s="13">
        <f>19880*(1+B16)</f>
        <v>24850</v>
      </c>
    </row>
    <row r="19">
      <c r="A19" s="12" t="s">
        <v>28</v>
      </c>
      <c r="B19" s="15">
        <f>(F15+F17+F16)*0.515</f>
        <v>77172.75</v>
      </c>
      <c r="C19" s="16"/>
    </row>
    <row r="20">
      <c r="A20" s="17" t="s">
        <v>29</v>
      </c>
      <c r="B20" s="18">
        <f>B14*0.8</f>
        <v>119880</v>
      </c>
      <c r="C20" s="17"/>
    </row>
    <row r="21"/>
    <row r="22">
      <c r="A22" s="2" t="s">
        <v>30</v>
      </c>
      <c r="B22" s="3"/>
      <c r="C22" s="3"/>
      <c r="D22" s="3"/>
      <c r="E22" s="3"/>
      <c r="F22" s="4"/>
      <c r="H22" s="19" t="s">
        <v>31</v>
      </c>
      <c r="I22" s="20"/>
      <c r="J22" s="20"/>
      <c r="K22" s="20"/>
      <c r="L22" s="20"/>
      <c r="M22" s="20"/>
      <c r="N22" s="20"/>
      <c r="O22" s="20"/>
      <c r="P22" s="20"/>
      <c r="Q22" s="20"/>
      <c r="R22" s="20"/>
      <c r="S22" s="20"/>
      <c r="T22" s="20"/>
      <c r="U22" s="20"/>
      <c r="V22" s="20"/>
      <c r="W22" s="20"/>
      <c r="X22" s="20"/>
      <c r="Y22" s="20"/>
      <c r="Z22" s="20"/>
      <c r="AA22" s="20"/>
      <c r="AB22" s="20"/>
      <c r="AC22" s="20"/>
      <c r="AD22" s="20"/>
      <c r="AE22" s="21"/>
    </row>
    <row r="23">
      <c r="A23" s="5" t="s">
        <v>32</v>
      </c>
      <c r="B23" s="22">
        <v>20000.0</v>
      </c>
      <c r="C23" s="5" t="s">
        <v>3</v>
      </c>
      <c r="H23" s="23" t="s">
        <v>33</v>
      </c>
      <c r="I23" s="24"/>
      <c r="J23" s="23" t="s">
        <v>34</v>
      </c>
      <c r="K23" s="24"/>
      <c r="L23" s="23" t="s">
        <v>35</v>
      </c>
      <c r="M23" s="24"/>
      <c r="N23" s="23" t="s">
        <v>36</v>
      </c>
      <c r="O23" s="24"/>
      <c r="P23" s="23" t="s">
        <v>37</v>
      </c>
      <c r="Q23" s="24"/>
      <c r="R23" s="23" t="s">
        <v>38</v>
      </c>
      <c r="S23" s="24"/>
      <c r="T23" s="23" t="s">
        <v>39</v>
      </c>
      <c r="U23" s="24"/>
      <c r="V23" s="23" t="s">
        <v>40</v>
      </c>
      <c r="W23" s="24"/>
      <c r="X23" s="23" t="s">
        <v>41</v>
      </c>
      <c r="Y23" s="24"/>
      <c r="Z23" s="23" t="s">
        <v>42</v>
      </c>
      <c r="AA23" s="24"/>
      <c r="AB23" s="23" t="s">
        <v>43</v>
      </c>
      <c r="AC23" s="24"/>
      <c r="AD23" s="23" t="s">
        <v>44</v>
      </c>
      <c r="AE23" s="24"/>
    </row>
    <row r="24">
      <c r="A24" s="5" t="s">
        <v>45</v>
      </c>
      <c r="B24" s="6">
        <v>60.0</v>
      </c>
      <c r="C24" s="5" t="s">
        <v>8</v>
      </c>
      <c r="H24" s="25" t="s">
        <v>46</v>
      </c>
      <c r="I24" s="26" t="s">
        <v>47</v>
      </c>
      <c r="J24" s="25" t="s">
        <v>46</v>
      </c>
      <c r="K24" s="26" t="s">
        <v>47</v>
      </c>
      <c r="L24" s="25" t="s">
        <v>46</v>
      </c>
      <c r="M24" s="26" t="s">
        <v>47</v>
      </c>
      <c r="N24" s="25" t="s">
        <v>46</v>
      </c>
      <c r="O24" s="26" t="s">
        <v>47</v>
      </c>
      <c r="P24" s="25" t="s">
        <v>46</v>
      </c>
      <c r="Q24" s="26" t="s">
        <v>47</v>
      </c>
      <c r="R24" s="25" t="s">
        <v>46</v>
      </c>
      <c r="S24" s="26" t="s">
        <v>47</v>
      </c>
      <c r="T24" s="25" t="s">
        <v>46</v>
      </c>
      <c r="U24" s="26" t="s">
        <v>47</v>
      </c>
      <c r="V24" s="25" t="s">
        <v>46</v>
      </c>
      <c r="W24" s="26" t="s">
        <v>47</v>
      </c>
      <c r="X24" s="25" t="s">
        <v>46</v>
      </c>
      <c r="Y24" s="26" t="s">
        <v>47</v>
      </c>
      <c r="Z24" s="25" t="s">
        <v>46</v>
      </c>
      <c r="AA24" s="26" t="s">
        <v>47</v>
      </c>
      <c r="AB24" s="25" t="s">
        <v>46</v>
      </c>
      <c r="AC24" s="26" t="s">
        <v>47</v>
      </c>
      <c r="AD24" s="25" t="s">
        <v>46</v>
      </c>
      <c r="AE24" s="26" t="s">
        <v>47</v>
      </c>
    </row>
    <row r="25">
      <c r="A25" s="5" t="s">
        <v>48</v>
      </c>
      <c r="B25" s="6">
        <v>40.0</v>
      </c>
      <c r="C25" s="5" t="s">
        <v>8</v>
      </c>
      <c r="H25" s="27">
        <v>2200.0</v>
      </c>
      <c r="I25" s="28">
        <v>0.0</v>
      </c>
      <c r="J25" s="27">
        <v>2000.0</v>
      </c>
      <c r="K25" s="28">
        <v>0.0</v>
      </c>
      <c r="L25" s="27">
        <v>1200.0</v>
      </c>
      <c r="M25" s="28">
        <v>0.0</v>
      </c>
      <c r="N25" s="27">
        <v>700.0</v>
      </c>
      <c r="O25" s="28">
        <v>600.0</v>
      </c>
      <c r="P25" s="27">
        <v>400.0</v>
      </c>
      <c r="Q25" s="28">
        <v>800.0</v>
      </c>
      <c r="R25" s="27">
        <v>400.0</v>
      </c>
      <c r="S25" s="28">
        <v>1800.0</v>
      </c>
      <c r="T25" s="27">
        <v>400.0</v>
      </c>
      <c r="U25" s="28">
        <v>1600.0</v>
      </c>
      <c r="V25" s="27">
        <v>500.0</v>
      </c>
      <c r="W25" s="28">
        <v>600.0</v>
      </c>
      <c r="X25" s="27">
        <v>1400.0</v>
      </c>
      <c r="Y25" s="28">
        <v>400.0</v>
      </c>
      <c r="Z25" s="27">
        <v>1600.0</v>
      </c>
      <c r="AA25" s="28">
        <v>200.0</v>
      </c>
      <c r="AB25" s="27">
        <v>1800.0</v>
      </c>
      <c r="AC25" s="28">
        <v>20.0</v>
      </c>
      <c r="AD25" s="27">
        <v>2000.0</v>
      </c>
      <c r="AE25" s="28">
        <v>0.0</v>
      </c>
    </row>
    <row r="26"/>
    <row r="27">
      <c r="A27" s="5" t="s">
        <v>49</v>
      </c>
      <c r="B27" s="6">
        <v>1.4</v>
      </c>
      <c r="C27" s="5" t="s">
        <v>50</v>
      </c>
    </row>
    <row r="28">
      <c r="A28" s="5" t="s">
        <v>51</v>
      </c>
      <c r="B28" s="6">
        <v>0.3</v>
      </c>
      <c r="C28" s="5" t="s">
        <v>50</v>
      </c>
      <c r="I28" s="29" t="s">
        <v>52</v>
      </c>
      <c r="P28" s="29" t="s">
        <v>53</v>
      </c>
    </row>
    <row r="29">
      <c r="A29" s="8" t="s">
        <v>54</v>
      </c>
      <c r="B29" s="7">
        <v>0.6</v>
      </c>
      <c r="C29" s="5" t="s">
        <v>50</v>
      </c>
      <c r="I29" s="30">
        <f>SUM(H25+J25+L25+N25+P25+R25+T25+V25+X25+Z25+AB25+AD25)</f>
        <v>14600</v>
      </c>
      <c r="L29" s="8"/>
      <c r="P29" s="30">
        <f>SUM(I25+K25+M25+O25+Q25+S25+U25+W25+Y25+AA25+AC25+AE25)</f>
        <v>6020</v>
      </c>
    </row>
    <row r="30"/>
    <row r="31">
      <c r="A31" s="2" t="s">
        <v>55</v>
      </c>
      <c r="B31" s="3"/>
      <c r="C31" s="3"/>
      <c r="D31" s="3"/>
      <c r="E31" s="3"/>
      <c r="F31" s="4"/>
    </row>
    <row r="32">
      <c r="A32" s="5" t="s">
        <v>56</v>
      </c>
      <c r="B32" s="6">
        <v>1.5</v>
      </c>
      <c r="C32" s="5" t="s">
        <v>13</v>
      </c>
    </row>
    <row r="33">
      <c r="A33" s="5" t="s">
        <v>57</v>
      </c>
      <c r="B33" s="7">
        <v>365.0</v>
      </c>
      <c r="C33" s="5" t="s">
        <v>58</v>
      </c>
      <c r="H33" s="31" t="s">
        <v>59</v>
      </c>
    </row>
    <row r="34">
      <c r="A34" s="5" t="s">
        <v>60</v>
      </c>
      <c r="B34" s="6">
        <v>85.0</v>
      </c>
      <c r="C34" s="5" t="s">
        <v>8</v>
      </c>
      <c r="H34" s="32" t="s">
        <v>61</v>
      </c>
      <c r="I34" s="33" t="s">
        <v>62</v>
      </c>
      <c r="L34" s="34" t="s">
        <v>63</v>
      </c>
      <c r="N34" s="35">
        <v>0.0</v>
      </c>
      <c r="O34" s="36"/>
      <c r="P34" s="34" t="s">
        <v>64</v>
      </c>
      <c r="R34" s="35">
        <v>81.25</v>
      </c>
      <c r="S34" s="33" t="s">
        <v>65</v>
      </c>
    </row>
    <row r="35"/>
    <row r="36">
      <c r="A36" s="5" t="s">
        <v>66</v>
      </c>
      <c r="B36" s="37">
        <f>B4*(B34/100)*(B8/100)</f>
        <v>12.66432</v>
      </c>
      <c r="C36" s="5" t="s">
        <v>3</v>
      </c>
      <c r="H36" s="38" t="s">
        <v>67</v>
      </c>
      <c r="Q36" s="38" t="s">
        <v>68</v>
      </c>
      <c r="AB36" s="8"/>
    </row>
    <row r="37">
      <c r="A37" s="5" t="s">
        <v>69</v>
      </c>
      <c r="B37" s="39">
        <f>B36*B32*B33</f>
        <v>6933.7152</v>
      </c>
      <c r="C37" s="5" t="s">
        <v>3</v>
      </c>
      <c r="H37" s="40" t="s">
        <v>70</v>
      </c>
      <c r="J37" s="40" t="s">
        <v>71</v>
      </c>
      <c r="L37" s="40" t="s">
        <v>72</v>
      </c>
      <c r="N37" s="40" t="s">
        <v>73</v>
      </c>
      <c r="Q37" s="40" t="s">
        <v>70</v>
      </c>
      <c r="S37" s="40" t="s">
        <v>71</v>
      </c>
      <c r="U37" s="40" t="s">
        <v>72</v>
      </c>
      <c r="W37" s="40" t="s">
        <v>73</v>
      </c>
    </row>
    <row r="38">
      <c r="H38" s="41" t="s">
        <v>74</v>
      </c>
      <c r="I38" s="42">
        <v>10.2</v>
      </c>
      <c r="J38" s="41" t="s">
        <v>74</v>
      </c>
      <c r="K38" s="42">
        <v>8.3</v>
      </c>
      <c r="L38" s="41" t="s">
        <v>74</v>
      </c>
      <c r="M38" s="42">
        <v>8.4</v>
      </c>
      <c r="N38" s="41" t="s">
        <v>74</v>
      </c>
      <c r="O38" s="42">
        <v>10.2</v>
      </c>
      <c r="Q38" s="41" t="s">
        <v>74</v>
      </c>
      <c r="R38" s="42">
        <v>6.5</v>
      </c>
      <c r="S38" s="41" t="s">
        <v>74</v>
      </c>
      <c r="T38" s="42">
        <v>4.0</v>
      </c>
      <c r="U38" s="41" t="s">
        <v>74</v>
      </c>
      <c r="V38" s="42">
        <v>4.0</v>
      </c>
      <c r="W38" s="41" t="s">
        <v>74</v>
      </c>
      <c r="X38" s="42">
        <v>6.0</v>
      </c>
    </row>
    <row r="39">
      <c r="A39" s="9" t="s">
        <v>75</v>
      </c>
      <c r="B39" s="3"/>
      <c r="C39" s="3"/>
      <c r="D39" s="3"/>
      <c r="E39" s="3"/>
      <c r="F39" s="4"/>
      <c r="H39" s="43" t="s">
        <v>76</v>
      </c>
      <c r="I39" s="44">
        <v>10.4</v>
      </c>
      <c r="J39" s="43" t="s">
        <v>76</v>
      </c>
      <c r="K39" s="44">
        <v>8.4</v>
      </c>
      <c r="L39" s="43" t="s">
        <v>76</v>
      </c>
      <c r="M39" s="44">
        <v>8.3</v>
      </c>
      <c r="N39" s="43" t="s">
        <v>76</v>
      </c>
      <c r="O39" s="44">
        <v>10.4</v>
      </c>
      <c r="Q39" s="43" t="s">
        <v>76</v>
      </c>
      <c r="R39" s="44">
        <v>6.2</v>
      </c>
      <c r="S39" s="43" t="s">
        <v>76</v>
      </c>
      <c r="T39" s="44">
        <v>4.0</v>
      </c>
      <c r="U39" s="43" t="s">
        <v>76</v>
      </c>
      <c r="V39" s="44">
        <v>4.0</v>
      </c>
      <c r="W39" s="43" t="s">
        <v>76</v>
      </c>
      <c r="X39" s="44">
        <v>6.0</v>
      </c>
    </row>
    <row r="40">
      <c r="A40" s="5" t="s">
        <v>77</v>
      </c>
      <c r="B40" s="45">
        <v>2.0</v>
      </c>
      <c r="C40" s="5" t="s">
        <v>50</v>
      </c>
      <c r="H40" s="43" t="s">
        <v>78</v>
      </c>
      <c r="I40" s="44">
        <v>10.0</v>
      </c>
      <c r="J40" s="43" t="s">
        <v>78</v>
      </c>
      <c r="K40" s="44">
        <v>8.0</v>
      </c>
      <c r="L40" s="43" t="s">
        <v>78</v>
      </c>
      <c r="M40" s="44">
        <v>8.0</v>
      </c>
      <c r="N40" s="43" t="s">
        <v>78</v>
      </c>
      <c r="O40" s="44">
        <v>10.0</v>
      </c>
      <c r="Q40" s="43" t="s">
        <v>78</v>
      </c>
      <c r="R40" s="44">
        <v>6.0</v>
      </c>
      <c r="S40" s="43" t="s">
        <v>78</v>
      </c>
      <c r="T40" s="44">
        <v>4.0</v>
      </c>
      <c r="U40" s="43" t="s">
        <v>78</v>
      </c>
      <c r="V40" s="44">
        <v>4.0</v>
      </c>
      <c r="W40" s="43" t="s">
        <v>78</v>
      </c>
      <c r="X40" s="44">
        <v>6.0</v>
      </c>
    </row>
    <row r="41">
      <c r="A41" s="5" t="s">
        <v>79</v>
      </c>
      <c r="B41" s="39">
        <f>B28+B29</f>
        <v>0.9</v>
      </c>
      <c r="C41" s="5" t="s">
        <v>50</v>
      </c>
      <c r="H41" s="25"/>
      <c r="I41" s="26"/>
      <c r="J41" s="25"/>
      <c r="K41" s="26"/>
      <c r="L41" s="25"/>
      <c r="M41" s="26"/>
      <c r="N41" s="25"/>
      <c r="O41" s="26"/>
      <c r="Q41" s="25"/>
      <c r="R41" s="26"/>
      <c r="S41" s="25"/>
      <c r="T41" s="26"/>
      <c r="U41" s="25"/>
      <c r="V41" s="26"/>
      <c r="W41" s="25"/>
      <c r="X41" s="26"/>
    </row>
    <row r="42">
      <c r="A42" s="5" t="s">
        <v>80</v>
      </c>
      <c r="B42" s="39">
        <f>B40-B41</f>
        <v>1.1</v>
      </c>
      <c r="C42" s="5" t="s">
        <v>50</v>
      </c>
      <c r="H42" s="43" t="s">
        <v>81</v>
      </c>
      <c r="I42" s="46">
        <f>(SUM(I37:I40))/3</f>
        <v>10.2</v>
      </c>
      <c r="J42" s="43" t="s">
        <v>81</v>
      </c>
      <c r="K42" s="46">
        <f>(SUM(K37:K40))/3</f>
        <v>8.233333333</v>
      </c>
      <c r="L42" s="43" t="s">
        <v>81</v>
      </c>
      <c r="M42" s="46">
        <f>(SUM(M37:M40))/3</f>
        <v>8.233333333</v>
      </c>
      <c r="N42" s="43" t="s">
        <v>81</v>
      </c>
      <c r="O42" s="46">
        <f>(SUM(O37:O40))/3</f>
        <v>10.2</v>
      </c>
      <c r="Q42" s="43" t="s">
        <v>81</v>
      </c>
      <c r="R42" s="46">
        <f>(SUM(R37:R40))/3</f>
        <v>6.233333333</v>
      </c>
      <c r="S42" s="43" t="s">
        <v>81</v>
      </c>
      <c r="T42" s="46">
        <f>(SUM(T37:T40))/3</f>
        <v>4</v>
      </c>
      <c r="U42" s="43" t="s">
        <v>81</v>
      </c>
      <c r="V42" s="46">
        <f>(SUM(V37:V40))/3</f>
        <v>4</v>
      </c>
      <c r="W42" s="43" t="s">
        <v>81</v>
      </c>
      <c r="X42" s="46">
        <f>(SUM(X37:X40))/3</f>
        <v>6</v>
      </c>
      <c r="AF42" s="47"/>
    </row>
    <row r="43">
      <c r="H43" s="43" t="s">
        <v>82</v>
      </c>
      <c r="I43" s="48">
        <f>IF(N34 &gt; 0, N34,R34)</f>
        <v>81.25</v>
      </c>
      <c r="J43" s="43" t="s">
        <v>82</v>
      </c>
      <c r="K43" s="48">
        <f>IF(N34 &gt; 0, N34,R34)</f>
        <v>81.25</v>
      </c>
      <c r="L43" s="43" t="s">
        <v>82</v>
      </c>
      <c r="M43" s="48">
        <f>IF(N34 &gt; 0, N34,R34)</f>
        <v>81.25</v>
      </c>
      <c r="N43" s="43" t="s">
        <v>82</v>
      </c>
      <c r="O43" s="48">
        <f>IF(N34 &gt; 0, N34,R34)</f>
        <v>81.25</v>
      </c>
      <c r="Q43" s="43" t="s">
        <v>82</v>
      </c>
      <c r="R43" s="48">
        <f>IF(N34 &gt; 0, N34,R34)</f>
        <v>81.25</v>
      </c>
      <c r="S43" s="43" t="s">
        <v>82</v>
      </c>
      <c r="T43" s="48">
        <f>IF(N34 &gt; 0, N34,R34)</f>
        <v>81.25</v>
      </c>
      <c r="U43" s="43" t="s">
        <v>82</v>
      </c>
      <c r="V43" s="48">
        <f>IF(N34 &gt; 0, N34,R34)</f>
        <v>81.25</v>
      </c>
      <c r="W43" s="43" t="s">
        <v>82</v>
      </c>
      <c r="X43" s="48">
        <f>IF(N34 &gt; 0, N34,R34)</f>
        <v>81.25</v>
      </c>
      <c r="AF43" s="13"/>
    </row>
    <row r="44">
      <c r="A44" s="8" t="s">
        <v>83</v>
      </c>
      <c r="B44" s="49">
        <f>(B42*B37)</f>
        <v>7627.08672</v>
      </c>
      <c r="C44" s="5" t="s">
        <v>84</v>
      </c>
      <c r="H44" s="50"/>
      <c r="I44" s="51"/>
      <c r="J44" s="50"/>
      <c r="K44" s="51"/>
      <c r="L44" s="50"/>
      <c r="M44" s="51"/>
      <c r="N44" s="50"/>
      <c r="O44" s="51"/>
      <c r="Q44" s="50"/>
      <c r="R44" s="51"/>
      <c r="S44" s="50"/>
      <c r="T44" s="51"/>
      <c r="U44" s="50"/>
      <c r="V44" s="51"/>
      <c r="W44" s="50"/>
      <c r="X44" s="51"/>
      <c r="AF44" s="13"/>
    </row>
    <row r="45">
      <c r="A45" s="8" t="s">
        <v>85</v>
      </c>
      <c r="B45" s="52">
        <f>S49</f>
        <v>4054.375</v>
      </c>
      <c r="C45" s="5" t="s">
        <v>84</v>
      </c>
      <c r="H45" s="53" t="s">
        <v>86</v>
      </c>
      <c r="I45" s="54"/>
      <c r="J45" s="53" t="s">
        <v>86</v>
      </c>
      <c r="K45" s="54"/>
      <c r="L45" s="53" t="s">
        <v>86</v>
      </c>
      <c r="M45" s="54"/>
      <c r="N45" s="53" t="s">
        <v>86</v>
      </c>
      <c r="O45" s="54"/>
      <c r="Q45" s="53" t="s">
        <v>86</v>
      </c>
      <c r="R45" s="54"/>
      <c r="S45" s="53" t="s">
        <v>86</v>
      </c>
      <c r="T45" s="54"/>
      <c r="U45" s="53" t="s">
        <v>86</v>
      </c>
      <c r="V45" s="54"/>
      <c r="W45" s="53" t="s">
        <v>86</v>
      </c>
      <c r="X45" s="54"/>
      <c r="AF45" s="13"/>
    </row>
    <row r="46">
      <c r="A46" s="55" t="s">
        <v>87</v>
      </c>
      <c r="B46" s="52">
        <f>1110*12</f>
        <v>13320</v>
      </c>
      <c r="C46" s="5" t="s">
        <v>84</v>
      </c>
      <c r="H46" s="56">
        <f>(I42*I43)*3</f>
        <v>2486.25</v>
      </c>
      <c r="I46" s="57"/>
      <c r="J46" s="56">
        <f>(K42*K43)*3</f>
        <v>2006.875</v>
      </c>
      <c r="K46" s="57"/>
      <c r="L46" s="56">
        <f>(M42*M43)*3</f>
        <v>2006.875</v>
      </c>
      <c r="M46" s="57"/>
      <c r="N46" s="56">
        <f>(O42*O43)*3</f>
        <v>2486.25</v>
      </c>
      <c r="O46" s="57"/>
      <c r="Q46" s="56">
        <f>(R42*R43)*3</f>
        <v>1519.375</v>
      </c>
      <c r="R46" s="57"/>
      <c r="S46" s="56">
        <f>(T42*T43)*3</f>
        <v>975</v>
      </c>
      <c r="T46" s="57"/>
      <c r="U46" s="56">
        <f>(V42*V43)*3</f>
        <v>975</v>
      </c>
      <c r="V46" s="57"/>
      <c r="W46" s="56">
        <f>(X42*X43)*3</f>
        <v>1462.5</v>
      </c>
      <c r="X46" s="57"/>
    </row>
    <row r="47">
      <c r="A47" s="8" t="s">
        <v>88</v>
      </c>
      <c r="B47" s="58">
        <f>650*12</f>
        <v>7800</v>
      </c>
      <c r="C47" s="5" t="s">
        <v>84</v>
      </c>
      <c r="D47" s="59" t="s">
        <v>89</v>
      </c>
    </row>
    <row r="48">
      <c r="H48" s="60" t="s">
        <v>90</v>
      </c>
      <c r="J48" s="61">
        <f>H46+J46+L46+N46</f>
        <v>8986.25</v>
      </c>
      <c r="Q48" s="60" t="s">
        <v>90</v>
      </c>
      <c r="S48" s="61">
        <f>Q46+S46+U46+W46</f>
        <v>4931.875</v>
      </c>
    </row>
    <row r="49">
      <c r="Q49" s="62" t="s">
        <v>91</v>
      </c>
      <c r="S49" s="63">
        <f>J48-S48</f>
        <v>4054.375</v>
      </c>
    </row>
    <row r="50">
      <c r="A50" s="2" t="s">
        <v>92</v>
      </c>
      <c r="B50" s="3"/>
      <c r="C50" s="3"/>
      <c r="D50" s="3"/>
      <c r="E50" s="3"/>
      <c r="F50" s="4"/>
      <c r="H50" s="29" t="s">
        <v>93</v>
      </c>
      <c r="K50" s="64"/>
      <c r="L50" s="64"/>
    </row>
    <row r="51">
      <c r="A51" s="65" t="s">
        <v>94</v>
      </c>
      <c r="B51" s="65" t="s">
        <v>95</v>
      </c>
      <c r="C51" s="65" t="s">
        <v>96</v>
      </c>
      <c r="D51" s="65" t="s">
        <v>97</v>
      </c>
      <c r="H51" s="8" t="s">
        <v>98</v>
      </c>
      <c r="I51" s="8">
        <v>36.0</v>
      </c>
      <c r="J51" s="8" t="s">
        <v>99</v>
      </c>
    </row>
    <row r="52">
      <c r="A52" s="12" t="s">
        <v>100</v>
      </c>
      <c r="B52" s="66">
        <f>(B19-3*(B44+B45+B46))/(B44+B45+B47)+3</f>
        <v>3.111304012</v>
      </c>
      <c r="C52" s="66">
        <f>(((3*(B44+B45+B46))+7*(B44+B45+B47))-B19)/100</f>
        <v>1342.018672</v>
      </c>
      <c r="D52" s="66">
        <f>(3*(B44+B45+B46)+7*(B44+B45+B47))/B19/10*100</f>
        <v>27.38979979</v>
      </c>
      <c r="H52" s="8" t="s">
        <v>101</v>
      </c>
      <c r="I52" s="67">
        <v>595.0</v>
      </c>
    </row>
    <row r="53">
      <c r="H53" s="8" t="s">
        <v>102</v>
      </c>
      <c r="I53" s="67">
        <v>45.0</v>
      </c>
    </row>
    <row r="54">
      <c r="A54" s="17"/>
      <c r="B54" s="68"/>
      <c r="C54" s="68"/>
      <c r="D54" s="68"/>
      <c r="H54" s="8" t="s">
        <v>103</v>
      </c>
      <c r="I54" s="69">
        <f>I52+(I51*I53)</f>
        <v>2215</v>
      </c>
    </row>
    <row r="55">
      <c r="H55" s="8" t="s">
        <v>104</v>
      </c>
      <c r="I55" s="70">
        <f>(I54/B19)/(I51/12)</f>
        <v>0.009567280333</v>
      </c>
    </row>
    <row r="56">
      <c r="P56" s="47"/>
      <c r="Q56" s="47"/>
      <c r="R56" s="47"/>
      <c r="S56" s="47"/>
      <c r="T56" s="47"/>
      <c r="U56" s="47"/>
      <c r="V56" s="47"/>
      <c r="W56" s="47"/>
      <c r="X56" s="47"/>
    </row>
    <row r="57">
      <c r="H57" s="8" t="s">
        <v>105</v>
      </c>
      <c r="I57" s="69">
        <f>B19+I52+(I53*I51)</f>
        <v>79387.75</v>
      </c>
      <c r="P57" s="13"/>
      <c r="Q57" s="13"/>
      <c r="R57" s="13"/>
      <c r="S57" s="13"/>
      <c r="T57" s="13"/>
      <c r="U57" s="13"/>
      <c r="V57" s="13"/>
      <c r="W57" s="13"/>
      <c r="X57" s="13"/>
    </row>
    <row r="58">
      <c r="H58" s="71" t="s">
        <v>106</v>
      </c>
      <c r="I58" s="72">
        <f>I57/I51</f>
        <v>2205.215278</v>
      </c>
      <c r="P58" s="13"/>
      <c r="Q58" s="13"/>
      <c r="R58" s="13"/>
      <c r="S58" s="13"/>
      <c r="T58" s="13"/>
      <c r="U58" s="13"/>
      <c r="V58" s="13"/>
      <c r="W58" s="13"/>
      <c r="X58" s="13"/>
    </row>
    <row r="59"/>
    <row r="60"/>
    <row r="61">
      <c r="Y61" s="47"/>
      <c r="Z61" s="47"/>
      <c r="AA61" s="47"/>
      <c r="AB61" s="47"/>
      <c r="AC61" s="47"/>
      <c r="AD61" s="47"/>
      <c r="AE61" s="47"/>
    </row>
    <row r="62">
      <c r="Y62" s="13"/>
      <c r="Z62" s="13"/>
      <c r="AA62" s="13"/>
      <c r="AB62" s="13"/>
      <c r="AC62" s="13"/>
      <c r="AD62" s="13"/>
      <c r="AE62" s="13"/>
    </row>
    <row r="63">
      <c r="Y63" s="13"/>
      <c r="Z63" s="13"/>
      <c r="AA63" s="13"/>
      <c r="AB63" s="13"/>
      <c r="AC63" s="13"/>
      <c r="AD63" s="13"/>
      <c r="AE63" s="13"/>
    </row>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sheetData>
  <mergeCells count="62">
    <mergeCell ref="L23:M23"/>
    <mergeCell ref="N23:O23"/>
    <mergeCell ref="I28:K28"/>
    <mergeCell ref="P28:R28"/>
    <mergeCell ref="P29:R29"/>
    <mergeCell ref="A31:F31"/>
    <mergeCell ref="H33:X33"/>
    <mergeCell ref="I29:K29"/>
    <mergeCell ref="I34:K34"/>
    <mergeCell ref="L34:M34"/>
    <mergeCell ref="H36:O36"/>
    <mergeCell ref="J37:K37"/>
    <mergeCell ref="L37:M37"/>
    <mergeCell ref="N37:O37"/>
    <mergeCell ref="H37:I37"/>
    <mergeCell ref="A39:F39"/>
    <mergeCell ref="H45:I45"/>
    <mergeCell ref="J45:K45"/>
    <mergeCell ref="L45:M45"/>
    <mergeCell ref="N45:O45"/>
    <mergeCell ref="Q45:R45"/>
    <mergeCell ref="J46:K46"/>
    <mergeCell ref="L46:M46"/>
    <mergeCell ref="N46:O46"/>
    <mergeCell ref="Q46:R46"/>
    <mergeCell ref="S46:T46"/>
    <mergeCell ref="U46:V46"/>
    <mergeCell ref="W46:X46"/>
    <mergeCell ref="H58:H59"/>
    <mergeCell ref="I58:I59"/>
    <mergeCell ref="H46:I46"/>
    <mergeCell ref="D47:F47"/>
    <mergeCell ref="H48:I48"/>
    <mergeCell ref="Q48:R48"/>
    <mergeCell ref="Q49:R49"/>
    <mergeCell ref="A50:F50"/>
    <mergeCell ref="H50:J50"/>
    <mergeCell ref="P23:Q23"/>
    <mergeCell ref="R23:S23"/>
    <mergeCell ref="T23:U23"/>
    <mergeCell ref="V23:W23"/>
    <mergeCell ref="X23:Y23"/>
    <mergeCell ref="Z23:AA23"/>
    <mergeCell ref="AB23:AC23"/>
    <mergeCell ref="AD23:AE23"/>
    <mergeCell ref="A1:F1"/>
    <mergeCell ref="A3:F3"/>
    <mergeCell ref="A13:F13"/>
    <mergeCell ref="A22:F22"/>
    <mergeCell ref="H22:AE22"/>
    <mergeCell ref="H23:I23"/>
    <mergeCell ref="J23:K23"/>
    <mergeCell ref="P34:Q34"/>
    <mergeCell ref="S34:U34"/>
    <mergeCell ref="Q36:X36"/>
    <mergeCell ref="Q37:R37"/>
    <mergeCell ref="S37:T37"/>
    <mergeCell ref="U37:V37"/>
    <mergeCell ref="W37:X37"/>
    <mergeCell ref="S45:T45"/>
    <mergeCell ref="U45:V45"/>
    <mergeCell ref="W45:X45"/>
  </mergeCells>
  <dataValidations>
    <dataValidation type="list" allowBlank="1" showErrorMessage="1" sqref="I34">
      <formula1>"Göteborg Energi Nät AB,Ellevio AB,Varbergsortens Elkraft ek. för.,Mölndal Energi Nät AB,Borås Elnät AB,Kungälv Energi AB,Lerum Energi AB,Partille Energi Nät AB,Härryda Energi AB,Ale El ek. för.,Bjärke Energi ek. för.,Alingsås Energi Nät AB,Vattenfall Eldi"&amp;"stribution AB"</formula1>
    </dataValidation>
  </dataValidations>
  <printOptions/>
  <pageMargins bottom="1.0" footer="0.0" header="0.0" left="0.75" right="0.75" top="1.0"/>
  <pageSetup orientation="landscape"/>
  <drawing r:id="rId1"/>
</worksheet>
</file>